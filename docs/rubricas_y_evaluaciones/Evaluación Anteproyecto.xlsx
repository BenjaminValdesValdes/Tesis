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i unidad\Copia Dropbox\clases\2026\proceso de titulación\Primer semestre\Titulo I\MMIRANDA\MOLINA ZUÑIGA EZEQUIEL\MOLINA ZUÑIGA EZEQUIEL\"/>
    </mc:Choice>
  </mc:AlternateContent>
  <xr:revisionPtr revIDLastSave="0" documentId="13_ncr:1_{D4817F08-B442-41C0-9E00-3CB8B8AACB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aluación" sheetId="1" r:id="rId1"/>
    <sheet name="Observ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F20" i="1"/>
  <c r="F12" i="1"/>
  <c r="E34" i="1" l="1"/>
</calcChain>
</file>

<file path=xl/sharedStrings.xml><?xml version="1.0" encoding="utf-8"?>
<sst xmlns="http://schemas.openxmlformats.org/spreadsheetml/2006/main" count="54" uniqueCount="52">
  <si>
    <t>PAUTA - EVALUACIÓN DE INFORMES DE PROPUESTAS DE TÍTULO</t>
  </si>
  <si>
    <t>Asignatura: TRABAJO DE TITULO I / TRABAJO DE TITULACIÓN I</t>
  </si>
  <si>
    <t xml:space="preserve">DIMENSIÓN </t>
  </si>
  <si>
    <t>ÁMBITO DE EVALUACIÓN</t>
  </si>
  <si>
    <t>TOTAL DIMENSIÓN</t>
  </si>
  <si>
    <t>1. CONTENIDO (75%)</t>
  </si>
  <si>
    <t>EVALUACIÓN
(1-7)</t>
  </si>
  <si>
    <t>1. El proyecto a desarrollar logra enraizarse claramente  en la perspectiva de lo abordado en la disciplina y carrera</t>
  </si>
  <si>
    <t>2. Se profundiza con claridad y profundidad (exhaustividad) la temática elegida.</t>
  </si>
  <si>
    <t>Promedio</t>
  </si>
  <si>
    <t>3. Hay un hilo conductor que se sostiene a lo largo de todo el escrito.</t>
  </si>
  <si>
    <t>4. Hay pertinencia entre la temática abordada y la propuesta de solución que se presenta.</t>
  </si>
  <si>
    <t>5. La organización de los diversos contenidos y elementos resulta atractiva (invita a la lectura).</t>
  </si>
  <si>
    <t>2. ELEMENTOS 
FORMALES (20%)</t>
  </si>
  <si>
    <t>1. Presenta todos los tópicos y subtópicos según lo requerido para el tipo de proyecto.</t>
  </si>
  <si>
    <t>2. Logra expresar las ideas de manera clara y coherente (aspectos gramaticales).</t>
  </si>
  <si>
    <t xml:space="preserve">3. Presenta una redacción apropiada (nivel de educación superior), que facilita la lectura y comprensión (claridad en la escritura y expresión de
las ideas). </t>
  </si>
  <si>
    <t>4. Uso de los signos de puntuación (acentos, comas, etc.) y ortografía.</t>
  </si>
  <si>
    <t>5.Originalidad y creatividad en la presentación de los elementos: incorpora gráficos, dibujos, fotografías, etc.</t>
  </si>
  <si>
    <t>6. Pulcritud en la presentación del informe</t>
  </si>
  <si>
    <t>6. Los objetivos y alcance y el marco de trabajo fundamentado, permite caracterizar la idea básica y/o global de la problemática abordada</t>
  </si>
  <si>
    <t>El trabajo manifiesta elaboración cuidadosa y dedicación, tanto en forma como en contenido.</t>
  </si>
  <si>
    <t>3. ASPECTOS GENERALES (5%)</t>
  </si>
  <si>
    <t xml:space="preserve">1. El trabajo presentado se ciñe a las indicaciones entregadas previamente por el profesor o la estructura a seguir según modalidad y lineamientos
del doc. “Marco de Trabajo Proceso de Titulación </t>
  </si>
  <si>
    <t>2. Juicio global del trabajo presentado</t>
  </si>
  <si>
    <t xml:space="preserve"> NOTA FINAL:</t>
  </si>
  <si>
    <t>Nota: Conceptos de evaluación según nivel de escala 1-7:</t>
  </si>
  <si>
    <t xml:space="preserve">1.0–1.4: No presenta </t>
  </si>
  <si>
    <t>1.5-1.9: Malo  2.0-2.9: Deficiente  3.0-3.9: Insuficiente</t>
  </si>
  <si>
    <t xml:space="preserve">4.0-4.9 : Regular </t>
  </si>
  <si>
    <t>5.0-5.9: Bueno 6.0-6.4: Muy Bueno 6.5-7.0: Excelente</t>
  </si>
  <si>
    <t>Observaciones:</t>
  </si>
  <si>
    <t xml:space="preserve">Fecha:   </t>
  </si>
  <si>
    <t>Nombre alumno(a): Ezequiel Jeremias Molina Zuñiga / Benjamin Ignacio Valdés Valdés</t>
  </si>
  <si>
    <t>Nombre Profesor Guía: Michael Emilio Cristi Capstick</t>
  </si>
  <si>
    <t>N°</t>
  </si>
  <si>
    <t>Observación / ajuste requerido</t>
  </si>
  <si>
    <t>Justificación</t>
  </si>
  <si>
    <t>Definir explícitamente el pipeline de reconocimiento de patentes.</t>
  </si>
  <si>
    <t>Se debe separar detección de placa, preprocesamiento, OCR o reconocimiento de caracteres, validación contra base de datos y decisión de apertura.</t>
  </si>
  <si>
    <t>Precisar el dataset de entrenamiento y prueba.</t>
  </si>
  <si>
    <t>Deben indicarse fuente de imágenes, tamaño estimado, criterios de etiquetado, formatos de patente, condiciones de iluminación, ángulo, distancia y partición entrenamiento/validación/prueba.</t>
  </si>
  <si>
    <t>Definir métricas de validación técnica.</t>
  </si>
  <si>
    <t>Se requieren métricas como precisión, recall, mAP, exactitud de lectura de patente completa, tasa de falsos positivos, tasa de falsos negativos y latencia extremo a extremo.</t>
  </si>
  <si>
    <t>Acotar el alcance del prototipo.</t>
  </si>
  <si>
    <t>Revisar el marco legal y ético.</t>
  </si>
  <si>
    <t>La patente vehicular vinculada a un funcionario debe tratarse cuidadosamente como dato personal o identificador asociado a una persona; conviene evitar clasificarla sin precisión como dato biométrico.</t>
  </si>
  <si>
    <t>Incorporar un plan de trabajo o cronograma.</t>
  </si>
  <si>
    <t>El anteproyecto necesita mostrar factibilidad temporal, etapas de desarrollo, responsables, entregables y duración estimada de cada fase.</t>
  </si>
  <si>
    <t>Moderar afirmaciones no demostradas.</t>
  </si>
  <si>
    <t>Expresiones como “resolver definitivamente” o “alta fidelidad” deberían reemplazarse por formulaciones evaluables y acordes a un prototipo inicial.</t>
  </si>
  <si>
    <t>El núcleo evaluable debería ser el flujo funcional: captura, detección, lectura, validación, registro y señal lógica de apertura. El hardware físico puede quedar como diseño complementario.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</si>
</sst>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2" fontId="0" fillId="0" borderId="0" xfId="0" applyNumberFormat="1"/>
    <xf numFmtId="2" fontId="1" fillId="0" borderId="17" xfId="0" applyNumberFormat="1" applyFont="1" applyBorder="1"/>
    <xf numFmtId="2" fontId="1" fillId="0" borderId="5" xfId="0" applyNumberFormat="1" applyFont="1" applyBorder="1"/>
    <xf numFmtId="2" fontId="1" fillId="0" borderId="20" xfId="0" applyNumberFormat="1" applyFont="1" applyBorder="1"/>
    <xf numFmtId="0" fontId="0" fillId="2" borderId="24" xfId="0" applyFill="1" applyBorder="1"/>
    <xf numFmtId="0" fontId="0" fillId="2" borderId="25" xfId="0" applyFill="1" applyBorder="1" applyAlignment="1">
      <alignment horizontal="center"/>
    </xf>
    <xf numFmtId="2" fontId="1" fillId="0" borderId="26" xfId="0" applyNumberFormat="1" applyFont="1" applyBorder="1"/>
    <xf numFmtId="2" fontId="1" fillId="0" borderId="27" xfId="0" applyNumberFormat="1" applyFont="1" applyBorder="1"/>
    <xf numFmtId="2" fontId="1" fillId="0" borderId="28" xfId="0" applyNumberFormat="1" applyFont="1" applyBorder="1"/>
    <xf numFmtId="0" fontId="1" fillId="2" borderId="2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right"/>
    </xf>
    <xf numFmtId="2" fontId="1" fillId="2" borderId="1" xfId="0" applyNumberFormat="1" applyFont="1" applyFill="1" applyBorder="1"/>
    <xf numFmtId="0" fontId="0" fillId="0" borderId="12" xfId="0" applyBorder="1"/>
    <xf numFmtId="0" fontId="0" fillId="0" borderId="14" xfId="0" applyBorder="1"/>
    <xf numFmtId="0" fontId="4" fillId="0" borderId="10" xfId="0" applyFont="1" applyBorder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39"/>
  <sheetViews>
    <sheetView tabSelected="1" workbookViewId="0">
      <selection activeCell="J11" sqref="J11"/>
    </sheetView>
  </sheetViews>
  <sheetFormatPr baseColWidth="10" defaultColWidth="11.42578125" defaultRowHeight="15" x14ac:dyDescent="0.25"/>
  <cols>
    <col min="3" max="3" width="19.28515625" bestFit="1" customWidth="1"/>
    <col min="4" max="4" width="47.7109375" customWidth="1"/>
    <col min="5" max="5" width="12.5703125" bestFit="1" customWidth="1"/>
    <col min="6" max="6" width="17.7109375" bestFit="1" customWidth="1"/>
  </cols>
  <sheetData>
    <row r="2" spans="3:10" x14ac:dyDescent="0.25">
      <c r="C2" s="27" t="s">
        <v>0</v>
      </c>
      <c r="D2" s="27"/>
      <c r="E2" s="27"/>
      <c r="F2" s="27"/>
      <c r="G2" s="28" t="s">
        <v>32</v>
      </c>
      <c r="H2" s="28"/>
      <c r="I2" s="28"/>
      <c r="J2" s="28"/>
    </row>
    <row r="3" spans="3:10" ht="15.75" thickBot="1" x14ac:dyDescent="0.3"/>
    <row r="4" spans="3:10" ht="15.75" thickBot="1" x14ac:dyDescent="0.3">
      <c r="C4" s="41" t="s">
        <v>33</v>
      </c>
      <c r="D4" s="42"/>
      <c r="E4" s="42"/>
      <c r="F4" s="43"/>
    </row>
    <row r="5" spans="3:10" ht="15.75" thickBot="1" x14ac:dyDescent="0.3">
      <c r="C5" s="41" t="s">
        <v>34</v>
      </c>
      <c r="D5" s="42"/>
      <c r="E5" s="42"/>
      <c r="F5" s="43"/>
    </row>
    <row r="6" spans="3:10" ht="15.75" thickBot="1" x14ac:dyDescent="0.3">
      <c r="C6" s="41" t="s">
        <v>1</v>
      </c>
      <c r="D6" s="42"/>
      <c r="E6" s="42"/>
      <c r="F6" s="43"/>
    </row>
    <row r="10" spans="3:10" ht="45.75" thickBot="1" x14ac:dyDescent="0.3">
      <c r="C10" s="18" t="s">
        <v>2</v>
      </c>
      <c r="D10" s="18" t="s">
        <v>3</v>
      </c>
      <c r="E10" s="19" t="s">
        <v>6</v>
      </c>
      <c r="F10" s="18" t="s">
        <v>4</v>
      </c>
    </row>
    <row r="11" spans="3:10" ht="15.75" thickBot="1" x14ac:dyDescent="0.3">
      <c r="C11" s="29" t="s">
        <v>5</v>
      </c>
      <c r="D11" s="12"/>
      <c r="E11" s="13"/>
      <c r="F11" s="17" t="s">
        <v>9</v>
      </c>
    </row>
    <row r="12" spans="3:10" ht="45" x14ac:dyDescent="0.25">
      <c r="C12" s="30"/>
      <c r="D12" s="4" t="s">
        <v>7</v>
      </c>
      <c r="E12" s="9">
        <v>6.4</v>
      </c>
      <c r="F12" s="32">
        <f>AVERAGE(E12:E17)</f>
        <v>5.833333333333333</v>
      </c>
    </row>
    <row r="13" spans="3:10" ht="30" x14ac:dyDescent="0.25">
      <c r="C13" s="30"/>
      <c r="D13" s="5" t="s">
        <v>8</v>
      </c>
      <c r="E13" s="10">
        <v>5.8</v>
      </c>
      <c r="F13" s="33"/>
    </row>
    <row r="14" spans="3:10" ht="30" x14ac:dyDescent="0.25">
      <c r="C14" s="30"/>
      <c r="D14" s="5" t="s">
        <v>10</v>
      </c>
      <c r="E14" s="10">
        <v>5.8</v>
      </c>
      <c r="F14" s="33"/>
    </row>
    <row r="15" spans="3:10" ht="30" x14ac:dyDescent="0.25">
      <c r="C15" s="30"/>
      <c r="D15" s="6" t="s">
        <v>11</v>
      </c>
      <c r="E15" s="10">
        <v>6</v>
      </c>
      <c r="F15" s="33"/>
    </row>
    <row r="16" spans="3:10" ht="30" x14ac:dyDescent="0.25">
      <c r="C16" s="30"/>
      <c r="D16" s="6" t="s">
        <v>12</v>
      </c>
      <c r="E16" s="10">
        <v>5.5</v>
      </c>
      <c r="F16" s="33"/>
    </row>
    <row r="17" spans="3:6" ht="45.75" thickBot="1" x14ac:dyDescent="0.3">
      <c r="C17" s="31"/>
      <c r="D17" s="7" t="s">
        <v>20</v>
      </c>
      <c r="E17" s="11">
        <v>5.5</v>
      </c>
      <c r="F17" s="34"/>
    </row>
    <row r="18" spans="3:6" ht="15.75" thickBot="1" x14ac:dyDescent="0.3">
      <c r="E18" s="8"/>
    </row>
    <row r="19" spans="3:6" ht="15.75" customHeight="1" thickBot="1" x14ac:dyDescent="0.3">
      <c r="C19" s="38" t="s">
        <v>13</v>
      </c>
      <c r="D19" s="12"/>
      <c r="E19" s="13"/>
      <c r="F19" s="17" t="s">
        <v>9</v>
      </c>
    </row>
    <row r="20" spans="3:6" ht="30" x14ac:dyDescent="0.25">
      <c r="C20" s="39"/>
      <c r="D20" s="4" t="s">
        <v>14</v>
      </c>
      <c r="E20" s="14">
        <v>5.3</v>
      </c>
      <c r="F20" s="35">
        <f>AVERAGE(E20:E26)</f>
        <v>5.3571428571428568</v>
      </c>
    </row>
    <row r="21" spans="3:6" ht="30" x14ac:dyDescent="0.25">
      <c r="C21" s="39"/>
      <c r="D21" s="5" t="s">
        <v>15</v>
      </c>
      <c r="E21" s="15">
        <v>5.5</v>
      </c>
      <c r="F21" s="36"/>
    </row>
    <row r="22" spans="3:6" ht="63" customHeight="1" x14ac:dyDescent="0.25">
      <c r="C22" s="39"/>
      <c r="D22" s="5" t="s">
        <v>16</v>
      </c>
      <c r="E22" s="15">
        <v>5.5</v>
      </c>
      <c r="F22" s="36"/>
    </row>
    <row r="23" spans="3:6" ht="30" x14ac:dyDescent="0.25">
      <c r="C23" s="39"/>
      <c r="D23" s="6" t="s">
        <v>17</v>
      </c>
      <c r="E23" s="15">
        <v>5.2</v>
      </c>
      <c r="F23" s="36"/>
    </row>
    <row r="24" spans="3:6" ht="45" x14ac:dyDescent="0.25">
      <c r="C24" s="39"/>
      <c r="D24" s="6" t="s">
        <v>18</v>
      </c>
      <c r="E24" s="15">
        <v>5.4</v>
      </c>
      <c r="F24" s="36"/>
    </row>
    <row r="25" spans="3:6" ht="15.75" thickBot="1" x14ac:dyDescent="0.3">
      <c r="C25" s="39"/>
      <c r="D25" s="7" t="s">
        <v>19</v>
      </c>
      <c r="E25" s="16">
        <v>5.4</v>
      </c>
      <c r="F25" s="36"/>
    </row>
    <row r="26" spans="3:6" ht="30.75" thickBot="1" x14ac:dyDescent="0.3">
      <c r="C26" s="40"/>
      <c r="D26" s="7" t="s">
        <v>21</v>
      </c>
      <c r="E26" s="16">
        <v>5.2</v>
      </c>
      <c r="F26" s="37"/>
    </row>
    <row r="28" spans="3:6" ht="15.75" thickBot="1" x14ac:dyDescent="0.3"/>
    <row r="29" spans="3:6" ht="15.75" customHeight="1" thickBot="1" x14ac:dyDescent="0.3">
      <c r="C29" s="38" t="s">
        <v>22</v>
      </c>
      <c r="D29" s="12"/>
      <c r="E29" s="13"/>
      <c r="F29" s="17" t="s">
        <v>9</v>
      </c>
    </row>
    <row r="30" spans="3:6" ht="60" x14ac:dyDescent="0.25">
      <c r="C30" s="39"/>
      <c r="D30" s="4" t="s">
        <v>23</v>
      </c>
      <c r="E30" s="14">
        <v>5.4</v>
      </c>
      <c r="F30" s="35">
        <f>AVERAGE(E30:E31)</f>
        <v>5.5</v>
      </c>
    </row>
    <row r="31" spans="3:6" ht="15.75" thickBot="1" x14ac:dyDescent="0.3">
      <c r="C31" s="40"/>
      <c r="D31" s="5" t="s">
        <v>24</v>
      </c>
      <c r="E31" s="15">
        <v>5.6</v>
      </c>
      <c r="F31" s="37"/>
    </row>
    <row r="33" spans="3:5" ht="15.75" thickBot="1" x14ac:dyDescent="0.3"/>
    <row r="34" spans="3:5" ht="15.75" thickBot="1" x14ac:dyDescent="0.3">
      <c r="D34" s="20" t="s">
        <v>25</v>
      </c>
      <c r="E34" s="21">
        <f>(F30*0.05)+(F20*0.2)+(F12*0.75)</f>
        <v>5.7214285714285715</v>
      </c>
    </row>
    <row r="36" spans="3:5" ht="15.75" thickBot="1" x14ac:dyDescent="0.3"/>
    <row r="37" spans="3:5" x14ac:dyDescent="0.25">
      <c r="C37" s="24" t="s">
        <v>26</v>
      </c>
      <c r="D37" s="1"/>
    </row>
    <row r="38" spans="3:5" x14ac:dyDescent="0.25">
      <c r="C38" s="22" t="s">
        <v>27</v>
      </c>
      <c r="D38" s="2" t="s">
        <v>28</v>
      </c>
    </row>
    <row r="39" spans="3:5" ht="15.75" thickBot="1" x14ac:dyDescent="0.3">
      <c r="C39" s="23" t="s">
        <v>29</v>
      </c>
      <c r="D39" s="3" t="s">
        <v>30</v>
      </c>
    </row>
  </sheetData>
  <mergeCells count="11">
    <mergeCell ref="C29:C31"/>
    <mergeCell ref="F30:F31"/>
    <mergeCell ref="C2:F2"/>
    <mergeCell ref="C4:F4"/>
    <mergeCell ref="C5:F5"/>
    <mergeCell ref="C6:F6"/>
    <mergeCell ref="G2:J2"/>
    <mergeCell ref="C11:C17"/>
    <mergeCell ref="F12:F17"/>
    <mergeCell ref="F20:F26"/>
    <mergeCell ref="C19:C2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topLeftCell="A4" workbookViewId="0">
      <selection activeCell="D16" sqref="D16"/>
    </sheetView>
  </sheetViews>
  <sheetFormatPr baseColWidth="10" defaultColWidth="11.42578125" defaultRowHeight="15" x14ac:dyDescent="0.25"/>
  <cols>
    <col min="2" max="2" width="2.85546875" bestFit="1" customWidth="1"/>
    <col min="3" max="3" width="47.28515625" bestFit="1" customWidth="1"/>
    <col min="4" max="4" width="68.42578125" customWidth="1"/>
  </cols>
  <sheetData>
    <row r="2" spans="2:4" x14ac:dyDescent="0.25">
      <c r="B2" s="27" t="s">
        <v>31</v>
      </c>
      <c r="C2" s="27"/>
    </row>
    <row r="5" spans="2:4" ht="30" x14ac:dyDescent="0.25">
      <c r="B5" s="25" t="s">
        <v>35</v>
      </c>
      <c r="C5" s="25" t="s">
        <v>36</v>
      </c>
      <c r="D5" s="25" t="s">
        <v>37</v>
      </c>
    </row>
    <row r="6" spans="2:4" ht="45" x14ac:dyDescent="0.25">
      <c r="B6" s="26">
        <v>1</v>
      </c>
      <c r="C6" s="26" t="s">
        <v>38</v>
      </c>
      <c r="D6" s="26" t="s">
        <v>39</v>
      </c>
    </row>
    <row r="7" spans="2:4" ht="45" x14ac:dyDescent="0.25">
      <c r="B7" s="26">
        <v>2</v>
      </c>
      <c r="C7" s="26" t="s">
        <v>40</v>
      </c>
      <c r="D7" s="26" t="s">
        <v>41</v>
      </c>
    </row>
    <row r="8" spans="2:4" ht="45" x14ac:dyDescent="0.25">
      <c r="B8" s="26">
        <v>3</v>
      </c>
      <c r="C8" s="26" t="s">
        <v>42</v>
      </c>
      <c r="D8" s="26" t="s">
        <v>43</v>
      </c>
    </row>
    <row r="9" spans="2:4" ht="45" x14ac:dyDescent="0.25">
      <c r="B9" s="26">
        <v>4</v>
      </c>
      <c r="C9" s="26" t="s">
        <v>44</v>
      </c>
      <c r="D9" s="26" t="s">
        <v>51</v>
      </c>
    </row>
    <row r="10" spans="2:4" ht="45" x14ac:dyDescent="0.25">
      <c r="B10" s="26">
        <v>5</v>
      </c>
      <c r="C10" s="26" t="s">
        <v>45</v>
      </c>
      <c r="D10" s="26" t="s">
        <v>46</v>
      </c>
    </row>
    <row r="11" spans="2:4" ht="30" x14ac:dyDescent="0.25">
      <c r="B11" s="26">
        <v>6</v>
      </c>
      <c r="C11" s="26" t="s">
        <v>47</v>
      </c>
      <c r="D11" s="26" t="s">
        <v>48</v>
      </c>
    </row>
    <row r="12" spans="2:4" ht="45" x14ac:dyDescent="0.25">
      <c r="B12" s="26">
        <v>7</v>
      </c>
      <c r="C12" s="26" t="s">
        <v>49</v>
      </c>
      <c r="D12" s="26" t="s">
        <v>50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</vt:lpstr>
      <vt:lpstr>Observaciones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</dc:creator>
  <cp:lastModifiedBy>Victor Heughes Escobar Jeria</cp:lastModifiedBy>
  <cp:lastPrinted>2019-04-12T16:40:16Z</cp:lastPrinted>
  <dcterms:created xsi:type="dcterms:W3CDTF">2019-04-10T16:02:32Z</dcterms:created>
  <dcterms:modified xsi:type="dcterms:W3CDTF">2026-06-08T19:42:04Z</dcterms:modified>
</cp:coreProperties>
</file>